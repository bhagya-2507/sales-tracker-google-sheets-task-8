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<sst xmlns="http://schemas.openxmlformats.org/spreadsheetml/2006/main" count="111" uniqueCount="60">
  <si>
    <t>Date</t>
  </si>
  <si>
    <t>Order_ID</t>
  </si>
  <si>
    <t>Product</t>
  </si>
  <si>
    <t>Category</t>
  </si>
  <si>
    <t>Region</t>
  </si>
  <si>
    <t>Salesperson</t>
  </si>
  <si>
    <t>Quantity</t>
  </si>
  <si>
    <t>Unit_Price</t>
  </si>
  <si>
    <t>Total_Sales</t>
  </si>
  <si>
    <t>ORD001</t>
  </si>
  <si>
    <t>Laptop</t>
  </si>
  <si>
    <t>Electronics</t>
  </si>
  <si>
    <t>North</t>
  </si>
  <si>
    <t>Aman</t>
  </si>
  <si>
    <t>ORD002</t>
  </si>
  <si>
    <t>Mouse</t>
  </si>
  <si>
    <t>South</t>
  </si>
  <si>
    <t>Riya</t>
  </si>
  <si>
    <t>ORD003</t>
  </si>
  <si>
    <t>Keyboard</t>
  </si>
  <si>
    <t>West</t>
  </si>
  <si>
    <t>Arjun</t>
  </si>
  <si>
    <t>ORD004</t>
  </si>
  <si>
    <t>Office Chair</t>
  </si>
  <si>
    <t>Furniture</t>
  </si>
  <si>
    <t>Neha</t>
  </si>
  <si>
    <t>ORD005</t>
  </si>
  <si>
    <t>Desk</t>
  </si>
  <si>
    <t>East</t>
  </si>
  <si>
    <t>ORD006</t>
  </si>
  <si>
    <t>Monitor</t>
  </si>
  <si>
    <t>ORD007</t>
  </si>
  <si>
    <t>Headphones</t>
  </si>
  <si>
    <t>ORD008</t>
  </si>
  <si>
    <t>Printer</t>
  </si>
  <si>
    <t>ORD009</t>
  </si>
  <si>
    <t>Notebook</t>
  </si>
  <si>
    <t>Stationery</t>
  </si>
  <si>
    <t>ORD010</t>
  </si>
  <si>
    <t>Pen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</si>
  <si>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</si>
  <si>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</si>
  <si>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</si>
  <si>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</si>
  <si>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</si>
  <si>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</si>
  <si>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</si>
  <si>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</si>
  <si>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SALES TRACKER DASHBOARD</t>
  </si>
  <si>
    <t>SELECTED DATE:</t>
  </si>
  <si>
    <t>DAILY SALES</t>
  </si>
  <si>
    <t>WEEKLY SALES</t>
  </si>
  <si>
    <t>MONTHLY SALES</t>
  </si>
  <si>
    <t>TOTAL SALES</t>
  </si>
  <si>
    <t>DATE</t>
  </si>
  <si>
    <t>SALES</t>
  </si>
  <si>
    <t>MANUAL VERIFICATION</t>
  </si>
  <si>
    <t>Formula Total</t>
  </si>
  <si>
    <t>Manual Total</t>
  </si>
  <si>
    <t>Verification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</si>
</sst>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₹]#,##0.00"/>
    <numFmt numFmtId="166" formatCode="dd/mm/yyyy"/>
    <numFmt numFmtId="167" formatCode="[$₹]#,##0"/>
  </numFmts>
  <fonts count="12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sz val="20.0"/>
      <color rgb="FFFFFFFF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/>
    <font>
      <b/>
      <color theme="1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readingOrder="0"/>
    </xf>
    <xf borderId="0" fillId="3" fontId="5" numFmtId="164" xfId="0" applyAlignment="1" applyFill="1" applyFont="1" applyNumberFormat="1">
      <alignment readingOrder="0"/>
    </xf>
    <xf borderId="1" fillId="4" fontId="5" numFmtId="0" xfId="0" applyAlignment="1" applyBorder="1" applyFill="1" applyFont="1">
      <alignment horizontal="center" readingOrder="0"/>
    </xf>
    <xf borderId="2" fillId="0" fontId="6" numFmtId="0" xfId="0" applyBorder="1" applyFont="1"/>
    <xf borderId="1" fillId="5" fontId="7" numFmtId="165" xfId="0" applyAlignment="1" applyBorder="1" applyFill="1" applyFont="1" applyNumberFormat="1">
      <alignment horizontal="center" readingOrder="0"/>
    </xf>
    <xf borderId="3" fillId="4" fontId="7" numFmtId="0" xfId="0" applyAlignment="1" applyBorder="1" applyFill="1" applyFont="1">
      <alignment horizontal="center" readingOrder="0"/>
    </xf>
    <xf borderId="1" fillId="4" fontId="8" numFmtId="0" xfId="0" applyAlignment="1" applyBorder="1" applyFill="1" applyFont="1">
      <alignment horizontal="center" readingOrder="0"/>
    </xf>
    <xf borderId="3" fillId="0" fontId="2" numFmtId="166" xfId="0" applyAlignment="1" applyBorder="1" applyFont="1" applyNumberFormat="1">
      <alignment readingOrder="0"/>
    </xf>
    <xf borderId="3" fillId="0" fontId="2" numFmtId="167" xfId="0" applyBorder="1" applyFont="1" applyNumberFormat="1"/>
    <xf borderId="3" fillId="0" fontId="7" numFmtId="0" xfId="0" applyAlignment="1" applyBorder="1" applyFont="1">
      <alignment readingOrder="0"/>
    </xf>
    <xf borderId="3" fillId="0" fontId="9" numFmtId="0" xfId="0" applyBorder="1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Daily Sales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Summary!$B$9</c:f>
            </c:strRef>
          </c:tx>
          <c:spPr>
            <a:solidFill>
              <a:srgbClr val="1155CC"/>
            </a:solidFill>
            <a:ln cmpd="sng">
              <a:noFill/>
            </a:ln>
          </c:spPr>
          <c:cat>
            <c:strRef>
              <c:f>Summary!$A$10:$A$24</c:f>
            </c:strRef>
          </c:cat>
          <c:val>
            <c:numRef>
              <c:f>Summary!$B$10:$B$24</c:f>
              <c:numCache/>
            </c:numRef>
          </c:val>
        </c:ser>
        <c:axId val="197778406"/>
        <c:axId val="1438753687"/>
      </c:barChart>
      <c:catAx>
        <c:axId val="197778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38753687"/>
      </c:catAx>
      <c:valAx>
        <c:axId val="1438753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77784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12</xdr:row>
      <xdr:rowOff>180975</xdr:rowOff>
    </xdr:from>
    <xdr:ext cx="4629150" cy="2333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46266.0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2.0</v>
      </c>
      <c r="H2" s="4">
        <v>45000.0</v>
      </c>
      <c r="I2" s="4">
        <f t="shared" ref="I2:I19" si="1">G2*H2</f>
        <v>90000</v>
      </c>
    </row>
    <row r="3">
      <c r="A3" s="2">
        <v>46266.0</v>
      </c>
      <c r="B3" s="3" t="s">
        <v>14</v>
      </c>
      <c r="C3" s="3" t="s">
        <v>15</v>
      </c>
      <c r="D3" s="3" t="s">
        <v>11</v>
      </c>
      <c r="E3" s="3" t="s">
        <v>16</v>
      </c>
      <c r="F3" s="3" t="s">
        <v>17</v>
      </c>
      <c r="G3" s="3">
        <v>5.0</v>
      </c>
      <c r="H3" s="4">
        <v>800.0</v>
      </c>
      <c r="I3" s="4">
        <f t="shared" si="1"/>
        <v>4000</v>
      </c>
    </row>
    <row r="4">
      <c r="A4" s="2">
        <v>46267.0</v>
      </c>
      <c r="B4" s="3" t="s">
        <v>18</v>
      </c>
      <c r="C4" s="3" t="s">
        <v>19</v>
      </c>
      <c r="D4" s="3" t="s">
        <v>11</v>
      </c>
      <c r="E4" s="3" t="s">
        <v>20</v>
      </c>
      <c r="F4" s="3" t="s">
        <v>21</v>
      </c>
      <c r="G4" s="3">
        <v>3.0</v>
      </c>
      <c r="H4" s="4">
        <v>1500.0</v>
      </c>
      <c r="I4" s="4">
        <f t="shared" si="1"/>
        <v>4500</v>
      </c>
    </row>
    <row r="5">
      <c r="A5" s="2">
        <v>46267.0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25</v>
      </c>
      <c r="G5" s="3">
        <v>2.0</v>
      </c>
      <c r="H5" s="4">
        <v>6500.0</v>
      </c>
      <c r="I5" s="4">
        <f t="shared" si="1"/>
        <v>13000</v>
      </c>
    </row>
    <row r="6">
      <c r="A6" s="2">
        <v>46268.0</v>
      </c>
      <c r="B6" s="3" t="s">
        <v>26</v>
      </c>
      <c r="C6" s="3" t="s">
        <v>27</v>
      </c>
      <c r="D6" s="3" t="s">
        <v>24</v>
      </c>
      <c r="E6" s="3" t="s">
        <v>28</v>
      </c>
      <c r="F6" s="3" t="s">
        <v>13</v>
      </c>
      <c r="G6" s="3">
        <v>1.0</v>
      </c>
      <c r="H6" s="4">
        <v>9000.0</v>
      </c>
      <c r="I6" s="4">
        <f t="shared" si="1"/>
        <v>9000</v>
      </c>
    </row>
    <row r="7">
      <c r="A7" s="2">
        <v>46268.0</v>
      </c>
      <c r="B7" s="3" t="s">
        <v>29</v>
      </c>
      <c r="C7" s="3" t="s">
        <v>30</v>
      </c>
      <c r="D7" s="3" t="s">
        <v>11</v>
      </c>
      <c r="E7" s="3" t="s">
        <v>16</v>
      </c>
      <c r="F7" s="3" t="s">
        <v>17</v>
      </c>
      <c r="G7" s="3">
        <v>2.0</v>
      </c>
      <c r="H7" s="4">
        <v>12000.0</v>
      </c>
      <c r="I7" s="4">
        <f t="shared" si="1"/>
        <v>24000</v>
      </c>
    </row>
    <row r="8">
      <c r="A8" s="2">
        <v>46269.0</v>
      </c>
      <c r="B8" s="3" t="s">
        <v>31</v>
      </c>
      <c r="C8" s="3" t="s">
        <v>32</v>
      </c>
      <c r="D8" s="3" t="s">
        <v>11</v>
      </c>
      <c r="E8" s="3" t="s">
        <v>20</v>
      </c>
      <c r="F8" s="3" t="s">
        <v>21</v>
      </c>
      <c r="G8" s="3">
        <v>4.0</v>
      </c>
      <c r="H8" s="4">
        <v>2500.0</v>
      </c>
      <c r="I8" s="4">
        <f t="shared" si="1"/>
        <v>10000</v>
      </c>
    </row>
    <row r="9">
      <c r="A9" s="2">
        <v>46270.0</v>
      </c>
      <c r="B9" s="3" t="s">
        <v>33</v>
      </c>
      <c r="C9" s="3" t="s">
        <v>34</v>
      </c>
      <c r="D9" s="3" t="s">
        <v>11</v>
      </c>
      <c r="E9" s="3" t="s">
        <v>12</v>
      </c>
      <c r="F9" s="3" t="s">
        <v>25</v>
      </c>
      <c r="G9" s="3">
        <v>1.0</v>
      </c>
      <c r="H9" s="4">
        <v>18000.0</v>
      </c>
      <c r="I9" s="4">
        <f t="shared" si="1"/>
        <v>18000</v>
      </c>
    </row>
    <row r="10">
      <c r="A10" s="2">
        <v>46271.0</v>
      </c>
      <c r="B10" s="3" t="s">
        <v>35</v>
      </c>
      <c r="C10" s="3" t="s">
        <v>36</v>
      </c>
      <c r="D10" s="3" t="s">
        <v>37</v>
      </c>
      <c r="E10" s="3" t="s">
        <v>28</v>
      </c>
      <c r="F10" s="3" t="s">
        <v>13</v>
      </c>
      <c r="G10" s="3">
        <v>10.0</v>
      </c>
      <c r="H10" s="4">
        <v>200.0</v>
      </c>
      <c r="I10" s="4">
        <f t="shared" si="1"/>
        <v>2000</v>
      </c>
    </row>
    <row r="11">
      <c r="A11" s="2">
        <v>46272.0</v>
      </c>
      <c r="B11" s="3" t="s">
        <v>38</v>
      </c>
      <c r="C11" s="3" t="s">
        <v>39</v>
      </c>
      <c r="D11" s="3" t="s">
        <v>37</v>
      </c>
      <c r="E11" s="3" t="s">
        <v>16</v>
      </c>
      <c r="F11" s="3" t="s">
        <v>17</v>
      </c>
      <c r="G11" s="3">
        <v>20.0</v>
      </c>
      <c r="H11" s="4">
        <v>50.0</v>
      </c>
      <c r="I11" s="4">
        <f t="shared" si="1"/>
        <v>1000</v>
      </c>
    </row>
    <row r="12">
      <c r="A12" s="2">
        <v>46273.0</v>
      </c>
      <c r="B12" s="3" t="s">
        <v>40</v>
      </c>
      <c r="C12" s="3" t="s">
        <v>10</v>
      </c>
      <c r="D12" s="3" t="s">
        <v>11</v>
      </c>
      <c r="E12" s="3" t="s">
        <v>20</v>
      </c>
      <c r="F12" s="3" t="s">
        <v>21</v>
      </c>
      <c r="G12" s="3">
        <v>1.0</v>
      </c>
      <c r="H12" s="4">
        <v>45000.0</v>
      </c>
      <c r="I12" s="4">
        <f t="shared" si="1"/>
        <v>45000</v>
      </c>
    </row>
    <row r="13">
      <c r="A13" s="2">
        <v>46274.0</v>
      </c>
      <c r="B13" s="3" t="s">
        <v>41</v>
      </c>
      <c r="C13" s="3" t="s">
        <v>23</v>
      </c>
      <c r="D13" s="3" t="s">
        <v>24</v>
      </c>
      <c r="E13" s="3" t="s">
        <v>12</v>
      </c>
      <c r="F13" s="3" t="s">
        <v>25</v>
      </c>
      <c r="G13" s="3">
        <v>3.0</v>
      </c>
      <c r="H13" s="4">
        <v>6500.0</v>
      </c>
      <c r="I13" s="4">
        <f t="shared" si="1"/>
        <v>19500</v>
      </c>
    </row>
    <row r="14">
      <c r="A14" s="2">
        <v>46275.0</v>
      </c>
      <c r="B14" s="3" t="s">
        <v>42</v>
      </c>
      <c r="C14" s="3" t="s">
        <v>27</v>
      </c>
      <c r="D14" s="3" t="s">
        <v>24</v>
      </c>
      <c r="E14" s="3" t="s">
        <v>28</v>
      </c>
      <c r="F14" s="3" t="s">
        <v>13</v>
      </c>
      <c r="G14" s="3">
        <v>2.0</v>
      </c>
      <c r="H14" s="4">
        <v>9000.0</v>
      </c>
      <c r="I14" s="4">
        <f t="shared" si="1"/>
        <v>18000</v>
      </c>
    </row>
    <row r="15">
      <c r="A15" s="2">
        <v>46276.0</v>
      </c>
      <c r="B15" s="3" t="s">
        <v>43</v>
      </c>
      <c r="C15" s="3" t="s">
        <v>30</v>
      </c>
      <c r="D15" s="3" t="s">
        <v>11</v>
      </c>
      <c r="E15" s="3" t="s">
        <v>16</v>
      </c>
      <c r="F15" s="3" t="s">
        <v>17</v>
      </c>
      <c r="G15" s="3">
        <v>3.0</v>
      </c>
      <c r="H15" s="4">
        <v>12000.0</v>
      </c>
      <c r="I15" s="4">
        <f t="shared" si="1"/>
        <v>36000</v>
      </c>
    </row>
    <row r="16">
      <c r="A16" s="2">
        <v>46277.0</v>
      </c>
      <c r="B16" s="3" t="s">
        <v>44</v>
      </c>
      <c r="C16" s="3" t="s">
        <v>19</v>
      </c>
      <c r="D16" s="3" t="s">
        <v>11</v>
      </c>
      <c r="E16" s="3" t="s">
        <v>20</v>
      </c>
      <c r="F16" s="3" t="s">
        <v>21</v>
      </c>
      <c r="G16" s="3">
        <v>5.0</v>
      </c>
      <c r="H16" s="4">
        <v>1500.0</v>
      </c>
      <c r="I16" s="4">
        <f t="shared" si="1"/>
        <v>7500</v>
      </c>
    </row>
    <row r="17">
      <c r="A17" s="2">
        <v>46278.0</v>
      </c>
      <c r="B17" s="3" t="s">
        <v>45</v>
      </c>
      <c r="C17" s="3" t="s">
        <v>34</v>
      </c>
      <c r="D17" s="3" t="s">
        <v>11</v>
      </c>
      <c r="E17" s="3" t="s">
        <v>12</v>
      </c>
      <c r="F17" s="3" t="s">
        <v>25</v>
      </c>
      <c r="G17" s="3">
        <v>2.0</v>
      </c>
      <c r="H17" s="4">
        <v>18000.0</v>
      </c>
      <c r="I17" s="4">
        <f t="shared" si="1"/>
        <v>36000</v>
      </c>
    </row>
    <row r="18">
      <c r="A18" s="2">
        <v>46279.0</v>
      </c>
      <c r="B18" s="3" t="s">
        <v>46</v>
      </c>
      <c r="C18" s="3" t="s">
        <v>15</v>
      </c>
      <c r="D18" s="3" t="s">
        <v>11</v>
      </c>
      <c r="E18" s="3" t="s">
        <v>28</v>
      </c>
      <c r="F18" s="3" t="s">
        <v>13</v>
      </c>
      <c r="G18" s="3">
        <v>8.0</v>
      </c>
      <c r="H18" s="4">
        <v>800.0</v>
      </c>
      <c r="I18" s="4">
        <f t="shared" si="1"/>
        <v>6400</v>
      </c>
    </row>
    <row r="19">
      <c r="A19" s="2">
        <v>46280.0</v>
      </c>
      <c r="B19" s="3" t="s">
        <v>47</v>
      </c>
      <c r="C19" s="3" t="s">
        <v>32</v>
      </c>
      <c r="D19" s="3" t="s">
        <v>11</v>
      </c>
      <c r="E19" s="3" t="s">
        <v>16</v>
      </c>
      <c r="F19" s="3" t="s">
        <v>17</v>
      </c>
      <c r="G19" s="3">
        <v>3.0</v>
      </c>
      <c r="H19" s="4">
        <v>2500.0</v>
      </c>
      <c r="I19" s="4">
        <f t="shared" si="1"/>
        <v>7500</v>
      </c>
    </row>
  </sheetData>
  <dataValidations>
    <dataValidation type="list" allowBlank="1" showErrorMessage="1" sqref="E2:E19">
      <formula1>"East,North,South,West"</formula1>
    </dataValidation>
    <dataValidation type="decimal" operator="greaterThan" allowBlank="1" showDropDown="1" sqref="G2:G19">
      <formula1>0.0</formula1>
    </dataValidation>
    <dataValidation type="list" allowBlank="1" showErrorMessage="1" sqref="D2:D19">
      <formula1>"Electronics,Furniture,Stationery"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4" max="4" width="22.25"/>
    <col customWidth="1" min="5" max="5" width="18.0"/>
    <col customWidth="1" min="6" max="6" width="14.88"/>
    <col customWidth="1" min="7" max="7" width="10.5"/>
    <col customWidth="1" min="8" max="8" width="12.5"/>
    <col customWidth="1" min="9" max="9" width="13.75"/>
  </cols>
  <sheetData>
    <row r="1">
      <c r="A1" s="5" t="s">
        <v>48</v>
      </c>
    </row>
    <row r="3">
      <c r="A3" s="6" t="s">
        <v>49</v>
      </c>
      <c r="B3" s="7">
        <v>46280.0</v>
      </c>
    </row>
    <row r="5">
      <c r="A5" s="8" t="s">
        <v>50</v>
      </c>
      <c r="B5" s="9"/>
      <c r="C5" s="8" t="s">
        <v>51</v>
      </c>
      <c r="D5" s="9"/>
      <c r="E5" s="8" t="s">
        <v>52</v>
      </c>
      <c r="F5" s="9"/>
      <c r="G5" s="8" t="s">
        <v>53</v>
      </c>
      <c r="H5" s="9"/>
    </row>
    <row r="6">
      <c r="A6" s="10">
        <f>SUMIFS(Raw_Data!I:I,Raw_Data!A:A,B3)</f>
        <v>7500</v>
      </c>
      <c r="B6" s="9"/>
      <c r="C6" s="10">
        <f>SUMIFS(Raw_Data!I:I,Raw_Data!A:A,"&gt;="&amp;B3-WEEKDAY(B3,2)+1,Raw_Data!A:A,"&lt;="&amp;B3-WEEKDAY(B3,2)+7)</f>
        <v>13900</v>
      </c>
      <c r="D6" s="9"/>
      <c r="E6" s="10">
        <f>SUMIFS(Raw_Data!I:I,Raw_Data!A:A,"&gt;="&amp;EOMONTH(B3,-1)+1,Raw_Data!A:A,"&lt;="&amp;EOMONTH(B3,0))</f>
        <v>351400</v>
      </c>
      <c r="F6" s="9"/>
      <c r="G6" s="10">
        <f>SUM(Raw_Data!I2:I1000)</f>
        <v>351400</v>
      </c>
      <c r="H6" s="9"/>
    </row>
    <row r="9">
      <c r="A9" s="11" t="s">
        <v>54</v>
      </c>
      <c r="B9" s="11" t="s">
        <v>55</v>
      </c>
      <c r="D9" s="12" t="s">
        <v>56</v>
      </c>
      <c r="E9" s="9"/>
    </row>
    <row r="10">
      <c r="A10" s="13">
        <v>46266.0</v>
      </c>
      <c r="B10" s="14">
        <f>SUMIFS(Raw_Data!$I:$I,Raw_Data!$A:$A,A10)</f>
        <v>94000</v>
      </c>
      <c r="D10" s="15" t="s">
        <v>57</v>
      </c>
      <c r="E10" s="14">
        <f>SUM(Raw_Data!I2:I1000)</f>
        <v>351400</v>
      </c>
    </row>
    <row r="11">
      <c r="A11" s="13">
        <v>46267.0</v>
      </c>
      <c r="B11" s="14">
        <f>SUMIFS(Raw_Data!$I:$I,Raw_Data!$A:$A,A11)</f>
        <v>17500</v>
      </c>
      <c r="D11" s="15" t="s">
        <v>58</v>
      </c>
      <c r="E11" s="14">
        <f>90000+4000+4500+13000+9000+24000+10000+18000+2000+1000+45000+19500+18000+36000+7500+36000+6400+7500</f>
        <v>351400</v>
      </c>
    </row>
    <row r="12">
      <c r="A12" s="13">
        <v>46268.0</v>
      </c>
      <c r="B12" s="14">
        <f>SUMIFS(Raw_Data!$I:$I,Raw_Data!$A:$A,A12)</f>
        <v>33000</v>
      </c>
      <c r="D12" s="15" t="s">
        <v>59</v>
      </c>
      <c r="E12" s="16" t="str">
        <f>IF(E10=E11,"MATCH ✓","CHECK")</f>
        <v>MATCH ✓</v>
      </c>
    </row>
    <row r="13">
      <c r="A13" s="13">
        <v>46269.0</v>
      </c>
      <c r="B13" s="14">
        <f>SUMIFS(Raw_Data!$I:$I,Raw_Data!$A:$A,A13)</f>
        <v>10000</v>
      </c>
    </row>
    <row r="14">
      <c r="A14" s="13">
        <v>46270.0</v>
      </c>
      <c r="B14" s="14">
        <f>SUMIFS(Raw_Data!$I:$I,Raw_Data!$A:$A,A14)</f>
        <v>18000</v>
      </c>
    </row>
    <row r="15">
      <c r="A15" s="13">
        <v>46271.0</v>
      </c>
      <c r="B15" s="14">
        <f>SUMIFS(Raw_Data!$I:$I,Raw_Data!$A:$A,A15)</f>
        <v>2000</v>
      </c>
    </row>
    <row r="16">
      <c r="A16" s="13">
        <v>46272.0</v>
      </c>
      <c r="B16" s="14">
        <f>SUMIFS(Raw_Data!$I:$I,Raw_Data!$A:$A,A16)</f>
        <v>1000</v>
      </c>
    </row>
    <row r="17">
      <c r="A17" s="13">
        <v>46273.0</v>
      </c>
      <c r="B17" s="14">
        <f>SUMIFS(Raw_Data!$I:$I,Raw_Data!$A:$A,A17)</f>
        <v>45000</v>
      </c>
    </row>
    <row r="18">
      <c r="A18" s="13">
        <v>46274.0</v>
      </c>
      <c r="B18" s="14">
        <f>SUMIFS(Raw_Data!$I:$I,Raw_Data!$A:$A,A18)</f>
        <v>19500</v>
      </c>
    </row>
    <row r="19">
      <c r="A19" s="13">
        <v>46275.0</v>
      </c>
      <c r="B19" s="14">
        <f>SUMIFS(Raw_Data!$I:$I,Raw_Data!$A:$A,A19)</f>
        <v>18000</v>
      </c>
    </row>
    <row r="20">
      <c r="A20" s="13">
        <v>46276.0</v>
      </c>
      <c r="B20" s="14">
        <f>SUMIFS(Raw_Data!$I:$I,Raw_Data!$A:$A,A20)</f>
        <v>36000</v>
      </c>
    </row>
    <row r="21">
      <c r="A21" s="13">
        <v>46277.0</v>
      </c>
      <c r="B21" s="14">
        <f>SUMIFS(Raw_Data!$I:$I,Raw_Data!$A:$A,A21)</f>
        <v>7500</v>
      </c>
      <c r="F21" s="17"/>
      <c r="G21" s="17"/>
      <c r="H21" s="17"/>
      <c r="I21" s="18"/>
    </row>
    <row r="22">
      <c r="A22" s="13">
        <v>46278.0</v>
      </c>
      <c r="B22" s="14">
        <f>SUMIFS(Raw_Data!$I:$I,Raw_Data!$A:$A,A22)</f>
        <v>36000</v>
      </c>
    </row>
    <row r="23">
      <c r="A23" s="13">
        <v>46279.0</v>
      </c>
      <c r="B23" s="14">
        <f>SUMIFS(Raw_Data!$I:$I,Raw_Data!$A:$A,A23)</f>
        <v>6400</v>
      </c>
    </row>
    <row r="24">
      <c r="A24" s="13">
        <v>46280.0</v>
      </c>
      <c r="B24" s="14">
        <f>SUMIFS(Raw_Data!$I:$I,Raw_Data!$A:$A,A24)</f>
        <v>7500</v>
      </c>
    </row>
  </sheetData>
  <mergeCells count="10">
    <mergeCell ref="E6:F6"/>
    <mergeCell ref="G6:H6"/>
    <mergeCell ref="D9:E9"/>
    <mergeCell ref="A1:H1"/>
    <mergeCell ref="A5:B5"/>
    <mergeCell ref="C5:D5"/>
    <mergeCell ref="E5:F5"/>
    <mergeCell ref="G5:H5"/>
    <mergeCell ref="A6:B6"/>
    <mergeCell ref="C6:D6"/>
  </mergeCells>
  <drawing r:id="rId1"/>
</worksheet>
</file>